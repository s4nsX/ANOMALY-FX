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ner " sheetId="1" r:id="rId4"/>
  </sheets>
  <definedNames>
    <definedName name="_xlnm.Print_Area" localSheetId="0">'Corner '!$A$1:$Q$38</definedName>
  </definedNames>
  <calcPr fullCalcOnLoad="1"/>
</workbook>
</file>

<file path=xl/sharedStrings.xml><?xml version="1.0" encoding="utf-8"?>
<sst xmlns="http://schemas.openxmlformats.org/spreadsheetml/2006/main" count="11" uniqueCount="11">
  <si>
    <t>■ Pengukuran Rasio Luminansi di Area Dekat Sudut</t>
  </si>
  <si>
    <t>Model</t>
  </si>
  <si>
    <t>Test Data</t>
  </si>
  <si>
    <t>Panel</t>
  </si>
  <si>
    <t>Event</t>
  </si>
  <si>
    <t>Measurement 
Point</t>
  </si>
  <si>
    <t>Spec</t>
  </si>
  <si>
    <t>Judgment</t>
  </si>
  <si>
    <t>Luminance
[nit]</t>
  </si>
  <si>
    <t>Corner Adjacent Luminance Ratio</t>
  </si>
  <si>
    <t>Judgment
(min)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</si>
</sst>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 "/>
    <numFmt numFmtId="165" formatCode="0.0%"/>
  </numFmts>
  <fonts count="6">
    <font>
      <sz val="11.0"/>
      <color/>
      <name val="Arial"/>
      <scheme val="minor"/>
    </font>
    <font>
      <sz val="10.0"/>
      <color/>
      <name val="Calibri"/>
    </font>
    <font>
      <b/>
      <sz val="12.0"/>
      <color/>
      <name val="Calibri"/>
    </font>
    <font/>
    <font>
      <b/>
      <sz val="10.0"/>
      <color/>
      <name val="Calibri"/>
    </font>
    <font>
      <b/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7" fillId="0" fontId="1" numFmtId="0" xfId="0" applyAlignment="1" applyBorder="1" applyFont="1">
      <alignment horizont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ill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9" fillId="0" fontId="1" numFmtId="14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9" fillId="3" fontId="5" numFmtId="165" xfId="0" applyAlignment="1" applyBorder="1" applyFill="1" applyFont="1" applyNumberFormat="1">
      <alignment horizontal="center" vertical="center"/>
    </xf>
    <xf borderId="9" fillId="3" fontId="4" numFmtId="165" xfId="0" applyAlignment="1" applyBorder="1" applyFill="1" applyFont="1" applyNumberFormat="1">
      <alignment horizontal="center" vertical="center"/>
    </xf>
    <xf borderId="9" fillId="0" fontId="4" numFmtId="165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47625</xdr:rowOff>
    </xdr:from>
    <xdr:ext cx="4048125" cy="342900"/>
    <xdr:sp macro="" textlink="">
      <xdr:nvSpPr>
        <xdr:cNvPr id="19" name="TextBox 18">
          <a:extLst>
            <a:ext uri="{FF2B5EF4-FFF2-40B4-BE49-F238E27FC236}"/>
          </a:extLst>
        </xdr:cNvPr>
        <xdr:cNvSpPr txBox="1"/>
      </xdr:nvSpPr>
      <xdr:spPr>
        <a:xfrm>
          <a:off x="47625" y="1581150"/>
          <a:ext cx="2533650" cy="297815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ctr" rtlCol="0" horzOverflow="clip" wrap="none" vertOverflow="clip">
          <a:noAutofit/>
        </a:bodyPr>
        <a:lstStyle/>
        <a:p>
          <a:pPr lvl="0" algn="ctr"/>
          <a:r>
            <a:rPr b="1" lang="en-US" altLang="ko-KR" sz="1100">
              <a:solidFill>
                <a:schemeClr val="tx1"/>
              </a:solidFill>
              <a:latin typeface="Malgun Gothic" panose="020B0503020000020004" pitchFamily="50" charset="-127"/>
              <a:ea typeface="Malgun Gothic" panose="020B0503020000020004" pitchFamily="50" charset="-127"/>
            </a:rPr>
            <a:t>Pengukuran Rasio Luminansi di Area Dekat Sudut</a:t>
          </a:r>
          <a:endParaRPr b="1" lang="ko-KR" altLang="en-US" sz="1100">
            <a:solidFill>
              <a:schemeClr val="tx1"/>
            </a:solidFill>
            <a:latin typeface="Malgun Gothic" panose="020B0503020000020004" pitchFamily="50" charset="-127"/>
            <a:ea typeface="Malgun Gothic" panose="020B0503020000020004" pitchFamily="50" charset="-127"/>
          </a:endParaRPr>
        </a:p>
      </xdr:txBody>
    </xdr:sp>
    <xdr:clientData fLocksWithSheet="0"/>
  </xdr:oneCellAnchor>
  <xdr:oneCellAnchor>
    <xdr:from>
      <xdr:col>8</xdr:col>
      <xdr:colOff>409575</xdr:colOff>
      <xdr:row>4</xdr:row>
      <xdr:rowOff>47625</xdr:rowOff>
    </xdr:from>
    <xdr:ext cx="1047750" cy="342900"/>
    <xdr:sp macro="" textlink="">
      <xdr:nvSpPr>
        <xdr:cNvPr id="48" name="TextBox 125">
          <a:extLst>
            <a:ext uri="{FF2B5EF4-FFF2-40B4-BE49-F238E27FC236}"/>
          </a:extLst>
        </xdr:cNvPr>
        <xdr:cNvSpPr txBox="1"/>
      </xdr:nvSpPr>
      <xdr:spPr>
        <a:xfrm>
          <a:off x="4627245" y="516255"/>
          <a:ext cx="1134745" cy="300990"/>
        </a:xfrm>
        <a:prstGeom prst="rect">
          <a:avLst/>
        </a:prstGeom>
        <a:noFill/>
      </xdr:spPr>
      <xdr:txBody>
        <a:bodyPr anchorCtr="0" anchor="t" rtlCol="0" wrap="square">
          <a:no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-228600" lvl="0" marL="228600">
            <a:lnSpc>
              <a:spcPct val="140000"/>
            </a:lnSpc>
          </a:pPr>
          <a:r>
            <a:rPr b="1" lang="en-US" altLang="ko-KR" sz="1050">
              <a:solidFill>
                <a:schemeClr val="bg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25mm</a:t>
          </a:r>
        </a:p>
      </xdr:txBody>
    </xdr:sp>
    <xdr:clientData fLocksWithSheet="0"/>
  </xdr:oneCellAnchor>
  <xdr:oneCellAnchor>
    <xdr:from>
      <xdr:col>5</xdr:col>
      <xdr:colOff>342900</xdr:colOff>
      <xdr:row>12</xdr:row>
      <xdr:rowOff>9525</xdr:rowOff>
    </xdr:from>
    <xdr:ext cx="1685925" cy="342900"/>
    <xdr:sp macro="" textlink="">
      <xdr:nvSpPr>
        <xdr:cNvPr id="113" name="TextBox 112">
          <a:extLst>
            <a:ext uri="{FF2B5EF4-FFF2-40B4-BE49-F238E27FC236}"/>
          </a:extLst>
        </xdr:cNvPr>
        <xdr:cNvSpPr txBox="1"/>
      </xdr:nvSpPr>
      <xdr:spPr>
        <a:xfrm>
          <a:off x="4551269" y="1892113"/>
          <a:ext cx="1930774" cy="329523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ctr" rtlCol="0" horzOverflow="clip" wrap="none" vertOverflow="clip">
          <a:noAutofit/>
        </a:bodyPr>
        <a:lstStyle/>
        <a:p>
          <a:pPr lvl="0" algn="ctr"/>
          <a:r>
            <a:rPr b="1" lang="en-US" altLang="ko-KR" sz="1100">
              <a:solidFill>
                <a:schemeClr val="tx1"/>
              </a:solidFill>
              <a:latin typeface="+mn-lt"/>
              <a:ea typeface="+mn-ea"/>
              <a:cs typeface="+mn-cs"/>
            </a:rPr>
            <a:t>Measurement </a:t>
          </a:r>
          <a:r>
            <a:rPr b="1" lang="en-US" altLang="ko-KR" sz="1100">
              <a:solidFill>
                <a:schemeClr val="tx1"/>
              </a:solidFill>
              <a:latin typeface="Malgun Gothic" panose="020B0503020000020004" pitchFamily="50" charset="-127"/>
              <a:ea typeface="Malgun Gothic" panose="020B0503020000020004" pitchFamily="50" charset="-127"/>
            </a:rPr>
            <a:t>point</a:t>
          </a:r>
          <a:endParaRPr b="1" lang="ko-KR" altLang="en-US" sz="1100">
            <a:solidFill>
              <a:schemeClr val="tx1"/>
            </a:solidFill>
            <a:latin typeface="Malgun Gothic" panose="020B0503020000020004" pitchFamily="50" charset="-127"/>
            <a:ea typeface="Malgun Gothic" panose="020B0503020000020004" pitchFamily="50" charset="-127"/>
          </a:endParaRPr>
        </a:p>
      </xdr:txBody>
    </xdr:sp>
    <xdr:clientData fLocksWithSheet="0"/>
  </xdr:oneCellAnchor>
  <xdr:oneCellAnchor>
    <xdr:from>
      <xdr:col>1</xdr:col>
      <xdr:colOff>476250</xdr:colOff>
      <xdr:row>3</xdr:row>
      <xdr:rowOff>47625</xdr:rowOff>
    </xdr:from>
    <xdr:ext cx="2838450" cy="1352550"/>
    <xdr:grpSp>
      <xdr:nvGrpSpPr>
        <xdr:cNvPr id="3" name="그룹 2">
          <a:extLst>
            <a:ext uri="{FF2B5EF4-FFF2-40B4-BE49-F238E27FC236}"/>
          </a:extLst>
        </xdr:cNvPr>
        <xdr:cNvGrpSpPr/>
      </xdr:nvGrpSpPr>
      <xdr:grpSpPr>
        <a:xfrm>
          <a:off x="574124" y="467621"/>
          <a:ext cx="2925697" cy="1401857"/>
          <a:chOff x="145387" y="457200"/>
          <a:chExt cx="2511721" cy="1352551"/>
        </a:xfrm>
      </xdr:grpSpPr>
      <xdr:sp macro="" textlink="">
        <xdr:nvSpPr>
          <xdr:cNvPr id="27" name="직사각형 26">
            <a:extLst>
              <a:ext uri="{FF2B5EF4-FFF2-40B4-BE49-F238E27FC236}"/>
            </a:extLst>
          </xdr:cNvPr>
          <xdr:cNvSpPr/>
        </xdr:nvSpPr>
        <xdr:spPr>
          <a:xfrm>
            <a:off x="247192" y="523874"/>
            <a:ext cx="2311150" cy="1209675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28" name="순서도: 연결자 27">
            <a:extLst>
              <a:ext uri="{FF2B5EF4-FFF2-40B4-BE49-F238E27FC236}"/>
            </a:extLst>
          </xdr:cNvPr>
          <xdr:cNvSpPr/>
        </xdr:nvSpPr>
        <xdr:spPr>
          <a:xfrm>
            <a:off x="608317" y="820312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29" name="순서도: 연결자 28">
            <a:extLst>
              <a:ext uri="{FF2B5EF4-FFF2-40B4-BE49-F238E27FC236}"/>
            </a:extLst>
          </xdr:cNvPr>
          <xdr:cNvSpPr/>
        </xdr:nvSpPr>
        <xdr:spPr>
          <a:xfrm>
            <a:off x="2103739" y="820312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0" name="순서도: 연결자 29">
            <a:extLst>
              <a:ext uri="{FF2B5EF4-FFF2-40B4-BE49-F238E27FC236}"/>
            </a:extLst>
          </xdr:cNvPr>
          <xdr:cNvSpPr/>
        </xdr:nvSpPr>
        <xdr:spPr>
          <a:xfrm>
            <a:off x="608317" y="1425150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1" name="순서도: 연결자 30">
            <a:extLst>
              <a:ext uri="{FF2B5EF4-FFF2-40B4-BE49-F238E27FC236}"/>
            </a:extLst>
          </xdr:cNvPr>
          <xdr:cNvSpPr/>
        </xdr:nvSpPr>
        <xdr:spPr>
          <a:xfrm>
            <a:off x="2103739" y="1425150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2" name="순서도: 연결자 31">
            <a:extLst>
              <a:ext uri="{FF2B5EF4-FFF2-40B4-BE49-F238E27FC236}"/>
            </a:extLst>
          </xdr:cNvPr>
          <xdr:cNvSpPr/>
        </xdr:nvSpPr>
        <xdr:spPr>
          <a:xfrm>
            <a:off x="247192" y="571287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3" name="순서도: 연결자 32">
            <a:extLst>
              <a:ext uri="{FF2B5EF4-FFF2-40B4-BE49-F238E27FC236}"/>
            </a:extLst>
          </xdr:cNvPr>
          <xdr:cNvSpPr/>
        </xdr:nvSpPr>
        <xdr:spPr>
          <a:xfrm>
            <a:off x="247192" y="1579349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4" name="순서도: 연결자 33">
            <a:extLst>
              <a:ext uri="{FF2B5EF4-FFF2-40B4-BE49-F238E27FC236}"/>
            </a:extLst>
          </xdr:cNvPr>
          <xdr:cNvSpPr/>
        </xdr:nvSpPr>
        <xdr:spPr>
          <a:xfrm>
            <a:off x="2447864" y="1579349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5" name="순서도: 연결자 34">
            <a:extLst>
              <a:ext uri="{FF2B5EF4-FFF2-40B4-BE49-F238E27FC236}"/>
            </a:extLst>
          </xdr:cNvPr>
          <xdr:cNvSpPr/>
        </xdr:nvSpPr>
        <xdr:spPr>
          <a:xfrm>
            <a:off x="2447864" y="571287"/>
            <a:ext cx="72215" cy="100795"/>
          </a:xfrm>
          <a:prstGeom prst="flowChartConnector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6" name="타원 35">
            <a:extLst>
              <a:ext uri="{FF2B5EF4-FFF2-40B4-BE49-F238E27FC236}"/>
            </a:extLst>
          </xdr:cNvPr>
          <xdr:cNvSpPr/>
        </xdr:nvSpPr>
        <xdr:spPr>
          <a:xfrm rot="1906137">
            <a:off x="150282" y="630728"/>
            <a:ext cx="660474" cy="23456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7" name="타원 36">
            <a:extLst>
              <a:ext uri="{FF2B5EF4-FFF2-40B4-BE49-F238E27FC236}"/>
            </a:extLst>
          </xdr:cNvPr>
          <xdr:cNvSpPr/>
        </xdr:nvSpPr>
        <xdr:spPr>
          <a:xfrm rot="1579139">
            <a:off x="1957711" y="1415953"/>
            <a:ext cx="673395" cy="256373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8" name="타원 37">
            <a:extLst>
              <a:ext uri="{FF2B5EF4-FFF2-40B4-BE49-F238E27FC236}"/>
            </a:extLst>
          </xdr:cNvPr>
          <xdr:cNvSpPr/>
        </xdr:nvSpPr>
        <xdr:spPr>
          <a:xfrm rot="19524717">
            <a:off x="1955301" y="644959"/>
            <a:ext cx="673395" cy="232182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39" name="타원 38">
            <a:extLst>
              <a:ext uri="{FF2B5EF4-FFF2-40B4-BE49-F238E27FC236}"/>
            </a:extLst>
          </xdr:cNvPr>
          <xdr:cNvSpPr/>
        </xdr:nvSpPr>
        <xdr:spPr>
          <a:xfrm rot="20479115">
            <a:off x="145387" y="1408761"/>
            <a:ext cx="673395" cy="27375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40" name="순서도: 연결자 39">
            <a:extLst>
              <a:ext uri="{FF2B5EF4-FFF2-40B4-BE49-F238E27FC236}"/>
            </a:extLst>
          </xdr:cNvPr>
          <xdr:cNvSpPr/>
        </xdr:nvSpPr>
        <xdr:spPr>
          <a:xfrm>
            <a:off x="1345381" y="808567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41" name="순서도: 연결자 40">
            <a:extLst>
              <a:ext uri="{FF2B5EF4-FFF2-40B4-BE49-F238E27FC236}"/>
            </a:extLst>
          </xdr:cNvPr>
          <xdr:cNvSpPr/>
        </xdr:nvSpPr>
        <xdr:spPr>
          <a:xfrm>
            <a:off x="610447" y="1116734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ysClr lastClr="000000" val="windowText"/>
              </a:solidFill>
            </a:endParaRPr>
          </a:p>
        </xdr:txBody>
      </xdr:sp>
      <xdr:sp macro="" textlink="">
        <xdr:nvSpPr>
          <xdr:cNvPr id="42" name="순서도: 연결자 41">
            <a:extLst>
              <a:ext uri="{FF2B5EF4-FFF2-40B4-BE49-F238E27FC236}"/>
            </a:extLst>
          </xdr:cNvPr>
          <xdr:cNvSpPr/>
        </xdr:nvSpPr>
        <xdr:spPr>
          <a:xfrm>
            <a:off x="1345381" y="1116734"/>
            <a:ext cx="72215" cy="100795"/>
          </a:xfrm>
          <a:prstGeom prst="flowChartConnector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43" name="순서도: 연결자 42">
            <a:extLst>
              <a:ext uri="{FF2B5EF4-FFF2-40B4-BE49-F238E27FC236}"/>
            </a:extLst>
          </xdr:cNvPr>
          <xdr:cNvSpPr/>
        </xdr:nvSpPr>
        <xdr:spPr>
          <a:xfrm>
            <a:off x="2088885" y="1116734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44" name="순서도: 연결자 43">
            <a:extLst>
              <a:ext uri="{FF2B5EF4-FFF2-40B4-BE49-F238E27FC236}"/>
            </a:extLst>
          </xdr:cNvPr>
          <xdr:cNvSpPr/>
        </xdr:nvSpPr>
        <xdr:spPr>
          <a:xfrm>
            <a:off x="1345381" y="1413404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76" name="순서도: 연결자 75">
            <a:extLst>
              <a:ext uri="{FF2B5EF4-FFF2-40B4-BE49-F238E27FC236}"/>
            </a:extLst>
          </xdr:cNvPr>
          <xdr:cNvSpPr/>
        </xdr:nvSpPr>
        <xdr:spPr>
          <a:xfrm>
            <a:off x="248497" y="1116734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ysClr lastClr="000000" val="windowText"/>
              </a:solidFill>
            </a:endParaRPr>
          </a:p>
        </xdr:txBody>
      </xdr:sp>
      <xdr:sp macro="" textlink="">
        <xdr:nvSpPr>
          <xdr:cNvPr id="77" name="순서도: 연결자 76">
            <a:extLst>
              <a:ext uri="{FF2B5EF4-FFF2-40B4-BE49-F238E27FC236}"/>
            </a:extLst>
          </xdr:cNvPr>
          <xdr:cNvSpPr/>
        </xdr:nvSpPr>
        <xdr:spPr>
          <a:xfrm>
            <a:off x="1345381" y="560917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78" name="순서도: 연결자 77">
            <a:extLst>
              <a:ext uri="{FF2B5EF4-FFF2-40B4-BE49-F238E27FC236}"/>
            </a:extLst>
          </xdr:cNvPr>
          <xdr:cNvSpPr/>
        </xdr:nvSpPr>
        <xdr:spPr>
          <a:xfrm>
            <a:off x="1345381" y="1613429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79" name="순서도: 연결자 78">
            <a:extLst>
              <a:ext uri="{FF2B5EF4-FFF2-40B4-BE49-F238E27FC236}"/>
            </a:extLst>
          </xdr:cNvPr>
          <xdr:cNvSpPr/>
        </xdr:nvSpPr>
        <xdr:spPr>
          <a:xfrm>
            <a:off x="2460360" y="1116734"/>
            <a:ext cx="72215" cy="100795"/>
          </a:xfrm>
          <a:prstGeom prst="flowChartConnector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80" name="타원 79">
            <a:extLst>
              <a:ext uri="{FF2B5EF4-FFF2-40B4-BE49-F238E27FC236}"/>
            </a:extLst>
          </xdr:cNvPr>
          <xdr:cNvSpPr/>
        </xdr:nvSpPr>
        <xdr:spPr>
          <a:xfrm>
            <a:off x="145388" y="1027762"/>
            <a:ext cx="673395" cy="27375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0070C0"/>
              </a:solidFill>
            </a:endParaRPr>
          </a:p>
        </xdr:txBody>
      </xdr:sp>
      <xdr:sp macro="" textlink="">
        <xdr:nvSpPr>
          <xdr:cNvPr id="81" name="타원 80">
            <a:extLst>
              <a:ext uri="{FF2B5EF4-FFF2-40B4-BE49-F238E27FC236}"/>
            </a:extLst>
          </xdr:cNvPr>
          <xdr:cNvSpPr/>
        </xdr:nvSpPr>
        <xdr:spPr>
          <a:xfrm>
            <a:off x="1983713" y="1027762"/>
            <a:ext cx="673395" cy="27375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0070C0"/>
              </a:solidFill>
            </a:endParaRPr>
          </a:p>
        </xdr:txBody>
      </xdr:sp>
      <xdr:sp macro="" textlink="">
        <xdr:nvSpPr>
          <xdr:cNvPr id="82" name="타원 81">
            <a:extLst>
              <a:ext uri="{FF2B5EF4-FFF2-40B4-BE49-F238E27FC236}"/>
            </a:extLst>
          </xdr:cNvPr>
          <xdr:cNvSpPr/>
        </xdr:nvSpPr>
        <xdr:spPr>
          <a:xfrm rot="5400000">
            <a:off x="1103016" y="604266"/>
            <a:ext cx="567887" cy="27375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0070C0"/>
              </a:solidFill>
            </a:endParaRPr>
          </a:p>
        </xdr:txBody>
      </xdr:sp>
      <xdr:sp macro="" textlink="">
        <xdr:nvSpPr>
          <xdr:cNvPr id="83" name="타원 82">
            <a:extLst>
              <a:ext uri="{FF2B5EF4-FFF2-40B4-BE49-F238E27FC236}"/>
            </a:extLst>
          </xdr:cNvPr>
          <xdr:cNvSpPr/>
        </xdr:nvSpPr>
        <xdr:spPr>
          <a:xfrm rot="5400000">
            <a:off x="1129784" y="1415698"/>
            <a:ext cx="514350" cy="27375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 rtlCol="0" wrap="square"/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1000">
              <a:solidFill>
                <a:srgbClr val="0070C0"/>
              </a:solidFill>
            </a:endParaRPr>
          </a:p>
        </xdr:txBody>
      </xdr:sp>
    </xdr:grpSp>
    <xdr:clientData fLocksWithSheet="0"/>
  </xdr:oneCellAnchor>
  <xdr:oneCellAnchor>
    <xdr:from>
      <xdr:col>4</xdr:col>
      <xdr:colOff>533400</xdr:colOff>
      <xdr:row>3</xdr:row>
      <xdr:rowOff>28575</xdr:rowOff>
    </xdr:from>
    <xdr:ext cx="2971800" cy="1495425"/>
    <xdr:grpSp>
      <xdr:nvGrpSpPr>
        <xdr:cNvPr id="126" name="组合 125">
          <a:extLst>
            <a:ext uri="{FF2B5EF4-FFF2-40B4-BE49-F238E27FC236}"/>
          </a:extLst>
        </xdr:cNvPr>
        <xdr:cNvGrpSpPr/>
      </xdr:nvGrpSpPr>
      <xdr:grpSpPr>
        <a:xfrm>
          <a:off x="3702984" y="442071"/>
          <a:ext cx="3038475" cy="1556121"/>
          <a:chOff x="2582424" y="5886450"/>
          <a:chExt cx="2156245" cy="1045412"/>
        </a:xfrm>
      </xdr:grpSpPr>
      <xdr:grpSp>
        <xdr:nvGrpSpPr>
          <xdr:cNvPr id="127" name="그룹 17">
            <a:extLst>
              <a:ext uri="{FF2B5EF4-FFF2-40B4-BE49-F238E27FC236}"/>
            </a:extLst>
          </xdr:cNvPr>
          <xdr:cNvGrpSpPr/>
        </xdr:nvGrpSpPr>
        <xdr:grpSpPr>
          <a:xfrm>
            <a:off x="2825215" y="6076391"/>
            <a:ext cx="1532020" cy="714676"/>
            <a:chOff x="1712640" y="3199089"/>
            <a:chExt cx="1152128" cy="435321"/>
          </a:xfrm>
        </xdr:grpSpPr>
        <xdr:sp macro="" textlink="">
          <xdr:nvSpPr>
            <xdr:cNvPr id="144" name="직사각형 103">
              <a:extLst>
                <a:ext uri="{FF2B5EF4-FFF2-40B4-BE49-F238E27FC236}"/>
              </a:extLst>
            </xdr:cNvPr>
            <xdr:cNvSpPr/>
          </xdr:nvSpPr>
          <xdr:spPr>
            <a:xfrm>
              <a:off x="1712640" y="3200722"/>
              <a:ext cx="1152128" cy="432048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45" name="순서도: 연결자 104">
              <a:extLst>
                <a:ext uri="{FF2B5EF4-FFF2-40B4-BE49-F238E27FC236}"/>
              </a:extLst>
            </xdr:cNvPr>
            <xdr:cNvSpPr/>
          </xdr:nvSpPr>
          <xdr:spPr>
            <a:xfrm>
              <a:off x="1892664" y="3306598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46" name="순서도: 연결자 105">
              <a:extLst>
                <a:ext uri="{FF2B5EF4-FFF2-40B4-BE49-F238E27FC236}"/>
              </a:extLst>
            </xdr:cNvPr>
            <xdr:cNvSpPr/>
          </xdr:nvSpPr>
          <xdr:spPr>
            <a:xfrm>
              <a:off x="2638145" y="3306598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47" name="순서도: 연결자 106">
              <a:extLst>
                <a:ext uri="{FF2B5EF4-FFF2-40B4-BE49-F238E27FC236}"/>
              </a:extLst>
            </xdr:cNvPr>
            <xdr:cNvSpPr/>
          </xdr:nvSpPr>
          <xdr:spPr>
            <a:xfrm>
              <a:off x="1892664" y="3522622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48" name="순서도: 연결자 107">
              <a:extLst>
                <a:ext uri="{FF2B5EF4-FFF2-40B4-BE49-F238E27FC236}"/>
              </a:extLst>
            </xdr:cNvPr>
            <xdr:cNvSpPr/>
          </xdr:nvSpPr>
          <xdr:spPr>
            <a:xfrm>
              <a:off x="2638145" y="3522622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49" name="순서도: 연결자 108">
              <a:extLst>
                <a:ext uri="{FF2B5EF4-FFF2-40B4-BE49-F238E27FC236}"/>
              </a:extLst>
            </xdr:cNvPr>
            <xdr:cNvSpPr/>
          </xdr:nvSpPr>
          <xdr:spPr>
            <a:xfrm>
              <a:off x="1712640" y="3217656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0" name="순서도: 연결자 109">
              <a:extLst>
                <a:ext uri="{FF2B5EF4-FFF2-40B4-BE49-F238E27FC236}"/>
              </a:extLst>
            </xdr:cNvPr>
            <xdr:cNvSpPr/>
          </xdr:nvSpPr>
          <xdr:spPr>
            <a:xfrm>
              <a:off x="1712640" y="3577696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1" name="순서도: 연결자 110">
              <a:extLst>
                <a:ext uri="{FF2B5EF4-FFF2-40B4-BE49-F238E27FC236}"/>
              </a:extLst>
            </xdr:cNvPr>
            <xdr:cNvSpPr/>
          </xdr:nvSpPr>
          <xdr:spPr>
            <a:xfrm>
              <a:off x="2809694" y="3577696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2" name="순서도: 연결자 111">
              <a:extLst>
                <a:ext uri="{FF2B5EF4-FFF2-40B4-BE49-F238E27FC236}"/>
              </a:extLst>
            </xdr:cNvPr>
            <xdr:cNvSpPr/>
          </xdr:nvSpPr>
          <xdr:spPr>
            <a:xfrm>
              <a:off x="2809694" y="3217656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3" name="순서도: 연결자 88">
              <a:extLst>
                <a:ext uri="{FF2B5EF4-FFF2-40B4-BE49-F238E27FC236}"/>
              </a:extLst>
            </xdr:cNvPr>
            <xdr:cNvSpPr/>
          </xdr:nvSpPr>
          <xdr:spPr>
            <a:xfrm>
              <a:off x="1892664" y="3414108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4" name="순서도: 연결자 89">
              <a:extLst>
                <a:ext uri="{FF2B5EF4-FFF2-40B4-BE49-F238E27FC236}"/>
              </a:extLst>
            </xdr:cNvPr>
            <xdr:cNvSpPr/>
          </xdr:nvSpPr>
          <xdr:spPr>
            <a:xfrm>
              <a:off x="1713586" y="3414108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5" name="순서도: 연결자 90">
              <a:extLst>
                <a:ext uri="{FF2B5EF4-FFF2-40B4-BE49-F238E27FC236}"/>
              </a:extLst>
            </xdr:cNvPr>
            <xdr:cNvSpPr/>
          </xdr:nvSpPr>
          <xdr:spPr>
            <a:xfrm>
              <a:off x="2265145" y="3306597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6" name="순서도: 연결자 91">
              <a:extLst>
                <a:ext uri="{FF2B5EF4-FFF2-40B4-BE49-F238E27FC236}"/>
              </a:extLst>
            </xdr:cNvPr>
            <xdr:cNvSpPr/>
          </xdr:nvSpPr>
          <xdr:spPr>
            <a:xfrm>
              <a:off x="2265145" y="3199089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7" name="순서도: 연결자 92">
              <a:extLst>
                <a:ext uri="{FF2B5EF4-FFF2-40B4-BE49-F238E27FC236}"/>
              </a:extLst>
            </xdr:cNvPr>
            <xdr:cNvSpPr/>
          </xdr:nvSpPr>
          <xdr:spPr>
            <a:xfrm>
              <a:off x="2630463" y="3414108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8" name="순서도: 연결자 113">
              <a:extLst>
                <a:ext uri="{FF2B5EF4-FFF2-40B4-BE49-F238E27FC236}"/>
              </a:extLst>
            </xdr:cNvPr>
            <xdr:cNvSpPr/>
          </xdr:nvSpPr>
          <xdr:spPr>
            <a:xfrm>
              <a:off x="2795214" y="3414108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59" name="순서도: 연결자 114">
              <a:extLst>
                <a:ext uri="{FF2B5EF4-FFF2-40B4-BE49-F238E27FC236}"/>
              </a:extLst>
            </xdr:cNvPr>
            <xdr:cNvSpPr/>
          </xdr:nvSpPr>
          <xdr:spPr>
            <a:xfrm>
              <a:off x="2265145" y="3521617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160" name="순서도: 연결자 115">
              <a:extLst>
                <a:ext uri="{FF2B5EF4-FFF2-40B4-BE49-F238E27FC236}"/>
              </a:extLst>
            </xdr:cNvPr>
            <xdr:cNvSpPr/>
          </xdr:nvSpPr>
          <xdr:spPr>
            <a:xfrm>
              <a:off x="2265145" y="3598410"/>
              <a:ext cx="36000" cy="36000"/>
            </a:xfrm>
            <a:prstGeom prst="flowChartConnector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 rtlCol="0" wrap="square"/>
            <a:lstStyle>
              <a:defPPr lvl="0">
                <a:defRPr lang="ko-KR"/>
              </a:defPPr>
              <a:lvl1pPr defTabSz="914400" eaLnBrk="1" hangingPunct="1" latinLnBrk="1" lvl="0" marL="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defTabSz="914400" eaLnBrk="1" hangingPunct="1" latinLnBrk="1" lvl="1" marL="457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defTabSz="914400" eaLnBrk="1" hangingPunct="1" latinLnBrk="1" lvl="2" marL="914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defTabSz="914400" eaLnBrk="1" hangingPunct="1" latinLnBrk="1" lvl="3" marL="1371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defTabSz="914400" eaLnBrk="1" hangingPunct="1" latinLnBrk="1" lvl="4" marL="18288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defTabSz="914400" eaLnBrk="1" hangingPunct="1" latinLnBrk="1" lvl="5" marL="22860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defTabSz="914400" eaLnBrk="1" hangingPunct="1" latinLnBrk="1" lvl="6" marL="27432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defTabSz="914400" eaLnBrk="1" hangingPunct="1" latinLnBrk="1" lvl="7" marL="32004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defTabSz="914400" eaLnBrk="1" hangingPunct="1" latinLnBrk="1" lvl="8" marL="3657600" rtl="0" algn="l">
                <a:defRPr kern="1200" sz="18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1000">
                <a:solidFill>
                  <a:srgbClr val="FFFFFF"/>
                </a:solidFill>
              </a:endParaRPr>
            </a:p>
          </xdr:txBody>
        </xdr:sp>
      </xdr:grpSp>
      <xdr:sp macro="" textlink="">
        <xdr:nvSpPr>
          <xdr:cNvPr id="128" name="TextBox 107">
            <a:extLst>
              <a:ext uri="{FF2B5EF4-FFF2-40B4-BE49-F238E27FC236}"/>
            </a:extLst>
          </xdr:cNvPr>
          <xdr:cNvSpPr txBox="1"/>
        </xdr:nvSpPr>
        <xdr:spPr>
          <a:xfrm>
            <a:off x="2686050" y="5886450"/>
            <a:ext cx="330818" cy="353215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</a:t>
            </a:r>
          </a:p>
        </xdr:txBody>
      </xdr:sp>
      <xdr:sp macro="" textlink="">
        <xdr:nvSpPr>
          <xdr:cNvPr id="129" name="TextBox 109">
            <a:extLst>
              <a:ext uri="{FF2B5EF4-FFF2-40B4-BE49-F238E27FC236}"/>
            </a:extLst>
          </xdr:cNvPr>
          <xdr:cNvSpPr txBox="1"/>
        </xdr:nvSpPr>
        <xdr:spPr>
          <a:xfrm>
            <a:off x="3020574" y="6107246"/>
            <a:ext cx="330818" cy="150679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2</a:t>
            </a:r>
          </a:p>
        </xdr:txBody>
      </xdr:sp>
      <xdr:sp macro="" textlink="">
        <xdr:nvSpPr>
          <xdr:cNvPr id="130" name="TextBox 111">
            <a:extLst>
              <a:ext uri="{FF2B5EF4-FFF2-40B4-BE49-F238E27FC236}"/>
            </a:extLst>
          </xdr:cNvPr>
          <xdr:cNvSpPr txBox="1"/>
        </xdr:nvSpPr>
        <xdr:spPr>
          <a:xfrm>
            <a:off x="3974944" y="6087761"/>
            <a:ext cx="330818" cy="343690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4</a:t>
            </a:r>
          </a:p>
        </xdr:txBody>
      </xdr:sp>
      <xdr:sp macro="" textlink="">
        <xdr:nvSpPr>
          <xdr:cNvPr id="131" name="TextBox 112">
            <a:extLst>
              <a:ext uri="{FF2B5EF4-FFF2-40B4-BE49-F238E27FC236}"/>
            </a:extLst>
          </xdr:cNvPr>
          <xdr:cNvSpPr txBox="1"/>
        </xdr:nvSpPr>
        <xdr:spPr>
          <a:xfrm>
            <a:off x="4237424" y="5935796"/>
            <a:ext cx="330818" cy="217938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3</a:t>
            </a:r>
          </a:p>
        </xdr:txBody>
      </xdr:sp>
      <xdr:sp macro="" textlink="">
        <xdr:nvSpPr>
          <xdr:cNvPr id="132" name="TextBox 116">
            <a:extLst>
              <a:ext uri="{FF2B5EF4-FFF2-40B4-BE49-F238E27FC236}"/>
            </a:extLst>
          </xdr:cNvPr>
          <xdr:cNvSpPr txBox="1"/>
        </xdr:nvSpPr>
        <xdr:spPr>
          <a:xfrm>
            <a:off x="4322588" y="6715736"/>
            <a:ext cx="416081" cy="198888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7</a:t>
            </a:r>
          </a:p>
        </xdr:txBody>
      </xdr:sp>
      <xdr:sp macro="" textlink="">
        <xdr:nvSpPr>
          <xdr:cNvPr id="133" name="TextBox 118">
            <a:extLst>
              <a:ext uri="{FF2B5EF4-FFF2-40B4-BE49-F238E27FC236}"/>
            </a:extLst>
          </xdr:cNvPr>
          <xdr:cNvSpPr txBox="1"/>
        </xdr:nvSpPr>
        <xdr:spPr>
          <a:xfrm>
            <a:off x="3060684" y="6551740"/>
            <a:ext cx="416081" cy="198888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6</a:t>
            </a:r>
          </a:p>
        </xdr:txBody>
      </xdr:sp>
      <xdr:sp macro="" textlink="">
        <xdr:nvSpPr>
          <xdr:cNvPr id="134" name="TextBox 119">
            <a:extLst>
              <a:ext uri="{FF2B5EF4-FFF2-40B4-BE49-F238E27FC236}"/>
            </a:extLst>
          </xdr:cNvPr>
          <xdr:cNvSpPr txBox="1"/>
        </xdr:nvSpPr>
        <xdr:spPr>
          <a:xfrm>
            <a:off x="4051115" y="6545402"/>
            <a:ext cx="330818" cy="198888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8</a:t>
            </a:r>
          </a:p>
        </xdr:txBody>
      </xdr:sp>
      <xdr:sp macro="" textlink="">
        <xdr:nvSpPr>
          <xdr:cNvPr id="135" name="TextBox 120">
            <a:extLst>
              <a:ext uri="{FF2B5EF4-FFF2-40B4-BE49-F238E27FC236}"/>
            </a:extLst>
          </xdr:cNvPr>
          <xdr:cNvSpPr txBox="1"/>
        </xdr:nvSpPr>
        <xdr:spPr>
          <a:xfrm>
            <a:off x="2663388" y="6713924"/>
            <a:ext cx="416081" cy="217938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5</a:t>
            </a:r>
          </a:p>
        </xdr:txBody>
      </xdr:sp>
      <xdr:sp macro="" textlink="">
        <xdr:nvSpPr>
          <xdr:cNvPr id="136" name="TextBox 109">
            <a:extLst>
              <a:ext uri="{FF2B5EF4-FFF2-40B4-BE49-F238E27FC236}"/>
            </a:extLst>
          </xdr:cNvPr>
          <xdr:cNvSpPr txBox="1"/>
        </xdr:nvSpPr>
        <xdr:spPr>
          <a:xfrm>
            <a:off x="3496824" y="5907221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9</a:t>
            </a:r>
          </a:p>
        </xdr:txBody>
      </xdr:sp>
      <xdr:sp macro="" textlink="">
        <xdr:nvSpPr>
          <xdr:cNvPr id="137" name="TextBox 109">
            <a:extLst>
              <a:ext uri="{FF2B5EF4-FFF2-40B4-BE49-F238E27FC236}"/>
            </a:extLst>
          </xdr:cNvPr>
          <xdr:cNvSpPr txBox="1"/>
        </xdr:nvSpPr>
        <xdr:spPr>
          <a:xfrm>
            <a:off x="3515874" y="6173921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10</a:t>
            </a:r>
          </a:p>
        </xdr:txBody>
      </xdr:sp>
      <xdr:sp macro="" textlink="">
        <xdr:nvSpPr>
          <xdr:cNvPr id="138" name="TextBox 109">
            <a:extLst>
              <a:ext uri="{FF2B5EF4-FFF2-40B4-BE49-F238E27FC236}"/>
            </a:extLst>
          </xdr:cNvPr>
          <xdr:cNvSpPr txBox="1"/>
        </xdr:nvSpPr>
        <xdr:spPr>
          <a:xfrm>
            <a:off x="4249299" y="6335846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11</a:t>
            </a:r>
          </a:p>
        </xdr:txBody>
      </xdr:sp>
      <xdr:sp macro="" textlink="">
        <xdr:nvSpPr>
          <xdr:cNvPr id="139" name="TextBox 109">
            <a:extLst>
              <a:ext uri="{FF2B5EF4-FFF2-40B4-BE49-F238E27FC236}"/>
            </a:extLst>
          </xdr:cNvPr>
          <xdr:cNvSpPr txBox="1"/>
        </xdr:nvSpPr>
        <xdr:spPr>
          <a:xfrm>
            <a:off x="3801624" y="6354896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12</a:t>
            </a:r>
          </a:p>
        </xdr:txBody>
      </xdr:sp>
      <xdr:sp macro="" textlink="">
        <xdr:nvSpPr>
          <xdr:cNvPr id="140" name="TextBox 109">
            <a:extLst>
              <a:ext uri="{FF2B5EF4-FFF2-40B4-BE49-F238E27FC236}"/>
            </a:extLst>
          </xdr:cNvPr>
          <xdr:cNvSpPr txBox="1"/>
        </xdr:nvSpPr>
        <xdr:spPr>
          <a:xfrm>
            <a:off x="3449199" y="6726371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13</a:t>
            </a:r>
          </a:p>
        </xdr:txBody>
      </xdr:sp>
      <xdr:sp macro="" textlink="">
        <xdr:nvSpPr>
          <xdr:cNvPr id="141" name="TextBox 109">
            <a:extLst>
              <a:ext uri="{FF2B5EF4-FFF2-40B4-BE49-F238E27FC236}"/>
            </a:extLst>
          </xdr:cNvPr>
          <xdr:cNvSpPr txBox="1"/>
        </xdr:nvSpPr>
        <xdr:spPr>
          <a:xfrm>
            <a:off x="3515874" y="6507296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14</a:t>
            </a:r>
          </a:p>
        </xdr:txBody>
      </xdr:sp>
      <xdr:sp macro="" textlink="">
        <xdr:nvSpPr>
          <xdr:cNvPr id="142" name="TextBox 109">
            <a:extLst>
              <a:ext uri="{FF2B5EF4-FFF2-40B4-BE49-F238E27FC236}"/>
            </a:extLst>
          </xdr:cNvPr>
          <xdr:cNvSpPr txBox="1"/>
        </xdr:nvSpPr>
        <xdr:spPr>
          <a:xfrm>
            <a:off x="2582424" y="6335846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15</a:t>
            </a:r>
          </a:p>
        </xdr:txBody>
      </xdr:sp>
      <xdr:sp macro="" textlink="">
        <xdr:nvSpPr>
          <xdr:cNvPr id="143" name="TextBox 109">
            <a:extLst>
              <a:ext uri="{FF2B5EF4-FFF2-40B4-BE49-F238E27FC236}"/>
            </a:extLst>
          </xdr:cNvPr>
          <xdr:cNvSpPr txBox="1"/>
        </xdr:nvSpPr>
        <xdr:spPr>
          <a:xfrm>
            <a:off x="3039624" y="6335846"/>
            <a:ext cx="330818" cy="141154"/>
          </a:xfrm>
          <a:prstGeom prst="rect">
            <a:avLst/>
          </a:prstGeom>
          <a:noFill/>
        </xdr:spPr>
        <xdr:txBody>
          <a:bodyPr rtlCol="0" wrap="square">
            <a:noAutofit/>
          </a:bodyPr>
          <a:lstStyle>
            <a:defPPr lvl="0">
              <a:defRPr lang="ko-KR"/>
            </a:defPPr>
            <a:lvl1pPr defTabSz="914400" eaLnBrk="1" hangingPunct="1" latinLnBrk="1" lvl="0" marL="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defTabSz="914400" eaLnBrk="1" hangingPunct="1" latinLnBrk="1" lvl="1" marL="457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defTabSz="914400" eaLnBrk="1" hangingPunct="1" latinLnBrk="1" lvl="2" marL="914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defTabSz="914400" eaLnBrk="1" hangingPunct="1" latinLnBrk="1" lvl="3" marL="1371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defTabSz="914400" eaLnBrk="1" hangingPunct="1" latinLnBrk="1" lvl="4" marL="18288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defTabSz="914400" eaLnBrk="1" hangingPunct="1" latinLnBrk="1" lvl="5" marL="22860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defTabSz="914400" eaLnBrk="1" hangingPunct="1" latinLnBrk="1" lvl="6" marL="27432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defTabSz="914400" eaLnBrk="1" hangingPunct="1" latinLnBrk="1" lvl="7" marL="32004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defTabSz="914400" eaLnBrk="1" hangingPunct="1" latinLnBrk="1" lvl="8" marL="3657600" rtl="0" algn="l">
              <a:defRPr kern="1200" sz="18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fontAlgn="base">
              <a:spcBef>
                <a:spcPct val="0"/>
              </a:spcBef>
              <a:spcAft>
                <a:spcPct val="0"/>
              </a:spcAft>
            </a:pPr>
            <a:r>
              <a:rPr kumimoji="1" lang="en-US" altLang="ko-KR" sz="800">
                <a:solidFill>
                  <a:srgbClr val="000000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16</a:t>
            </a: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3" width="17.86"/>
    <col customWidth="1" min="4" max="5" width="9.0"/>
    <col customWidth="1" min="6" max="6" width="16.14"/>
    <col customWidth="1" min="7" max="7" width="10.14"/>
    <col customWidth="1" min="8" max="8" width="19.29"/>
    <col customWidth="1" min="9" max="9" width="9.0"/>
    <col customWidth="1" min="10" max="10" width="10.14"/>
    <col customWidth="1" min="11" max="11" width="18.43"/>
    <col customWidth="1" min="12" max="12" width="9.0"/>
    <col customWidth="1" min="13" max="13" width="10.14"/>
    <col customWidth="1" min="14" max="14" width="18.43"/>
    <col customWidth="1" min="15" max="17" width="9.0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8.75" customHeight="1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7.5" customHeight="1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6"/>
      <c r="Q4" s="6"/>
    </row>
    <row r="5" ht="13.5" customHeight="1">
      <c r="A5" s="1"/>
      <c r="B5" s="7"/>
      <c r="O5" s="8"/>
      <c r="P5" s="6"/>
      <c r="Q5" s="6"/>
    </row>
    <row r="6" ht="13.5" customHeight="1">
      <c r="A6" s="1"/>
      <c r="B6" s="7"/>
      <c r="O6" s="8"/>
      <c r="P6" s="6"/>
      <c r="Q6" s="6"/>
    </row>
    <row r="7" ht="13.5" customHeight="1">
      <c r="A7" s="1"/>
      <c r="B7" s="7"/>
      <c r="O7" s="8"/>
      <c r="P7" s="6"/>
      <c r="Q7" s="6"/>
    </row>
    <row r="8" ht="13.5" customHeight="1">
      <c r="A8" s="1"/>
      <c r="B8" s="7"/>
      <c r="O8" s="8"/>
      <c r="P8" s="6"/>
      <c r="Q8" s="6"/>
    </row>
    <row r="9" ht="13.5" customHeight="1">
      <c r="A9" s="1"/>
      <c r="B9" s="7"/>
      <c r="O9" s="8"/>
      <c r="P9" s="6"/>
      <c r="Q9" s="6"/>
    </row>
    <row r="10" ht="13.5" customHeight="1">
      <c r="A10" s="1"/>
      <c r="B10" s="7"/>
      <c r="O10" s="8"/>
      <c r="P10" s="6"/>
      <c r="Q10" s="6"/>
    </row>
    <row r="11" ht="13.5" customHeight="1">
      <c r="A11" s="1"/>
      <c r="B11" s="7"/>
      <c r="O11" s="8"/>
      <c r="P11" s="6"/>
      <c r="Q11" s="6"/>
    </row>
    <row r="12" ht="13.5" customHeight="1">
      <c r="A12" s="1"/>
      <c r="B12" s="7"/>
      <c r="O12" s="8"/>
      <c r="P12" s="6"/>
      <c r="Q12" s="6"/>
    </row>
    <row r="13" ht="13.5" customHeight="1">
      <c r="A13" s="1"/>
      <c r="B13" s="7"/>
      <c r="O13" s="8"/>
      <c r="P13" s="6"/>
      <c r="Q13" s="6"/>
    </row>
    <row r="14" ht="13.5" customHeight="1">
      <c r="A14" s="1"/>
      <c r="B14" s="7"/>
      <c r="O14" s="8"/>
      <c r="P14" s="6"/>
      <c r="Q14" s="6"/>
    </row>
    <row r="15" ht="13.5" customHeight="1">
      <c r="A15" s="1"/>
      <c r="B15" s="7"/>
      <c r="O15" s="8"/>
      <c r="P15" s="6"/>
      <c r="Q15" s="6"/>
    </row>
    <row r="16" ht="13.5" customHeight="1">
      <c r="A16" s="1"/>
      <c r="B16" s="7"/>
      <c r="O16" s="8"/>
      <c r="P16" s="6"/>
      <c r="Q16" s="6"/>
    </row>
    <row r="17" ht="13.5" customHeight="1">
      <c r="A17" s="1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6"/>
      <c r="Q17" s="6"/>
    </row>
    <row r="18" ht="7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3.5" customHeight="1">
      <c r="A19" s="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6"/>
      <c r="Q19" s="6"/>
    </row>
    <row r="20" ht="30.0" customHeight="1">
      <c r="A20" s="1"/>
      <c r="B20" s="13" t="s">
        <v>1</v>
      </c>
      <c r="C20" s="13" t="s">
        <v>2</v>
      </c>
      <c r="D20" s="13" t="s">
        <v>3</v>
      </c>
      <c r="E20" s="13" t="s">
        <v>4</v>
      </c>
      <c r="F20" s="14" t="s">
        <v>5</v>
      </c>
      <c r="G20" s="15"/>
      <c r="H20" s="16"/>
      <c r="I20" s="17"/>
      <c r="J20" s="18"/>
      <c r="K20" s="16"/>
      <c r="L20" s="17"/>
      <c r="M20" s="15"/>
      <c r="N20" s="16"/>
      <c r="O20" s="17"/>
      <c r="P20" s="19" t="s">
        <v>6</v>
      </c>
      <c r="Q20" s="19" t="s">
        <v>7</v>
      </c>
    </row>
    <row r="21" ht="13.5" customHeight="1">
      <c r="A21" s="1"/>
      <c r="B21" s="20"/>
      <c r="C21" s="20"/>
      <c r="D21" s="20"/>
      <c r="E21" s="20"/>
      <c r="F21" s="20"/>
      <c r="G21" s="21" t="s">
        <v>8</v>
      </c>
      <c r="H21" s="21" t="s">
        <v>9</v>
      </c>
      <c r="I21" s="22" t="s">
        <v>10</v>
      </c>
      <c r="J21" s="21" t="s">
        <v>8</v>
      </c>
      <c r="K21" s="21" t="s">
        <v>9</v>
      </c>
      <c r="L21" s="22" t="s">
        <v>10</v>
      </c>
      <c r="M21" s="21" t="s">
        <v>8</v>
      </c>
      <c r="N21" s="21" t="s">
        <v>9</v>
      </c>
      <c r="O21" s="22" t="s">
        <v>10</v>
      </c>
      <c r="P21" s="20"/>
      <c r="Q21" s="20"/>
    </row>
    <row r="22" ht="13.5" customHeight="1">
      <c r="A22" s="1"/>
      <c r="B22" s="23"/>
      <c r="C22" s="24"/>
      <c r="D22" s="23"/>
      <c r="E22" s="23"/>
      <c r="F22" s="25">
        <v>1.0</v>
      </c>
      <c r="G22" s="26"/>
      <c r="H22" s="27">
        <f>IF(AND(ISNUMBER(G22),ISNUMBER(G23)),IF(G23&lt;&gt;0,G22/G23,""),"")</f>
      </c>
      <c r="I22" s="28">
        <f>IF(COUNT(H22:H37)=0,"",MIN(H22:H37))</f>
      </c>
      <c r="J22" s="26"/>
      <c r="K22" s="27">
        <f>IF(AND(ISNUMBER(J22),ISNUMBER(J23)),IF(J23&lt;&gt;0,J22/J23,""),"")</f>
      </c>
      <c r="L22" s="29">
        <f>IF(COUNT(K22:K37)=0,"",MIN(K22:K37))</f>
      </c>
      <c r="M22" s="26"/>
      <c r="N22" s="27">
        <f>IF(AND(ISNUMBER(M22),ISNUMBER(M23)),IF(M23&lt;&gt;0,M22/M23,""),"")</f>
      </c>
      <c r="O22" s="29">
        <f>IF(COUNT(N22:N37)=0,"",MIN(N22:N37))</f>
      </c>
      <c r="P22" s="30">
        <v>0.6</v>
      </c>
      <c r="Q22" s="31">
        <f>IF(COUNT(I22,L22,O22)=0,"",IF(MIN(I22,L22,O22)&gt;=P22,"OK","NG"))</f>
      </c>
    </row>
    <row r="23" ht="13.5" customHeight="1">
      <c r="A23" s="1"/>
      <c r="B23" s="32"/>
      <c r="C23" s="32"/>
      <c r="D23" s="32"/>
      <c r="E23" s="32"/>
      <c r="F23" s="25">
        <v>2.0</v>
      </c>
      <c r="G23" s="26"/>
      <c r="H23" s="20"/>
      <c r="I23" s="32"/>
      <c r="J23" s="26"/>
      <c r="K23" s="20"/>
      <c r="L23" s="32"/>
      <c r="M23" s="26"/>
      <c r="N23" s="20"/>
      <c r="O23" s="32"/>
      <c r="P23" s="32"/>
      <c r="Q23" s="32"/>
    </row>
    <row r="24" ht="13.5" customHeight="1">
      <c r="A24" s="1"/>
      <c r="B24" s="32"/>
      <c r="C24" s="32"/>
      <c r="D24" s="32"/>
      <c r="E24" s="32"/>
      <c r="F24" s="25">
        <v>3.0</v>
      </c>
      <c r="G24" s="26"/>
      <c r="H24" s="27">
        <f>IF(AND(ISNUMBER(G24),ISNUMBER(G25)),IF(G25&lt;&gt;0,G24/G25,""),"")</f>
      </c>
      <c r="I24" s="32"/>
      <c r="J24" s="26"/>
      <c r="K24" s="27">
        <f>IF(AND(ISNUMBER(J24),ISNUMBER(J25)),IF(J25&lt;&gt;0,J24/J25,""),"")</f>
      </c>
      <c r="L24" s="32"/>
      <c r="M24" s="26"/>
      <c r="N24" s="27">
        <f>IF(AND(ISNUMBER(M24),ISNUMBER(M25)),IF(M25&lt;&gt;0,M24/M25,""),"")</f>
      </c>
      <c r="O24" s="32"/>
      <c r="P24" s="32"/>
      <c r="Q24" s="32"/>
    </row>
    <row r="25" ht="13.5" customHeight="1">
      <c r="A25" s="1"/>
      <c r="B25" s="32"/>
      <c r="C25" s="32"/>
      <c r="D25" s="32"/>
      <c r="E25" s="32"/>
      <c r="F25" s="25">
        <v>4.0</v>
      </c>
      <c r="G25" s="26"/>
      <c r="H25" s="20"/>
      <c r="I25" s="32"/>
      <c r="J25" s="26"/>
      <c r="K25" s="20"/>
      <c r="L25" s="32"/>
      <c r="M25" s="26"/>
      <c r="N25" s="20"/>
      <c r="O25" s="32"/>
      <c r="P25" s="32"/>
      <c r="Q25" s="32"/>
    </row>
    <row r="26" ht="13.5" customHeight="1">
      <c r="A26" s="1"/>
      <c r="B26" s="32"/>
      <c r="C26" s="32"/>
      <c r="D26" s="32"/>
      <c r="E26" s="32"/>
      <c r="F26" s="25">
        <v>5.0</v>
      </c>
      <c r="G26" s="26"/>
      <c r="H26" s="27">
        <f>IF(AND(ISNUMBER(G26),ISNUMBER(G27)),IF(G27&lt;&gt;0,G26/G27,""),"")</f>
      </c>
      <c r="I26" s="32"/>
      <c r="J26" s="26"/>
      <c r="K26" s="27">
        <f>IF(AND(ISNUMBER(J26),ISNUMBER(J27)),IF(J27&lt;&gt;0,J26/J27,""),"")</f>
      </c>
      <c r="L26" s="32"/>
      <c r="M26" s="26"/>
      <c r="N26" s="27">
        <f>IF(AND(ISNUMBER(M26),ISNUMBER(M27)),IF(M27&lt;&gt;0,M26/M27,""),"")</f>
      </c>
      <c r="O26" s="32"/>
      <c r="P26" s="32"/>
      <c r="Q26" s="32"/>
    </row>
    <row r="27" ht="13.5" customHeight="1">
      <c r="A27" s="1"/>
      <c r="B27" s="32"/>
      <c r="C27" s="32"/>
      <c r="D27" s="32"/>
      <c r="E27" s="32"/>
      <c r="F27" s="25">
        <v>6.0</v>
      </c>
      <c r="G27" s="26"/>
      <c r="H27" s="20"/>
      <c r="I27" s="32"/>
      <c r="J27" s="26"/>
      <c r="K27" s="20"/>
      <c r="L27" s="32"/>
      <c r="M27" s="26"/>
      <c r="N27" s="20"/>
      <c r="O27" s="32"/>
      <c r="P27" s="32"/>
      <c r="Q27" s="32"/>
    </row>
    <row r="28" ht="13.5" customHeight="1">
      <c r="A28" s="1"/>
      <c r="B28" s="32"/>
      <c r="C28" s="32"/>
      <c r="D28" s="32"/>
      <c r="E28" s="32"/>
      <c r="F28" s="25">
        <v>7.0</v>
      </c>
      <c r="G28" s="26"/>
      <c r="H28" s="27">
        <f>IF(AND(ISNUMBER(G28),ISNUMBER(G29)),IF(G29&lt;&gt;0,G28/G29,""),"")</f>
      </c>
      <c r="I28" s="32"/>
      <c r="J28" s="26"/>
      <c r="K28" s="27">
        <f>IF(AND(ISNUMBER(J28),ISNUMBER(J29)),IF(J29&lt;&gt;0,J28/J29,""),"")</f>
      </c>
      <c r="L28" s="32"/>
      <c r="M28" s="26"/>
      <c r="N28" s="27">
        <f>IF(AND(ISNUMBER(M28),ISNUMBER(M29)),IF(M29&lt;&gt;0,M28/M29,""),"")</f>
      </c>
      <c r="O28" s="32"/>
      <c r="P28" s="32"/>
      <c r="Q28" s="32"/>
    </row>
    <row r="29" ht="13.5" customHeight="1">
      <c r="A29" s="1"/>
      <c r="B29" s="32"/>
      <c r="C29" s="32"/>
      <c r="D29" s="32"/>
      <c r="E29" s="32"/>
      <c r="F29" s="25">
        <v>8.0</v>
      </c>
      <c r="G29" s="26"/>
      <c r="H29" s="20"/>
      <c r="I29" s="32"/>
      <c r="J29" s="26"/>
      <c r="K29" s="20"/>
      <c r="L29" s="32"/>
      <c r="M29" s="26"/>
      <c r="N29" s="20"/>
      <c r="O29" s="32"/>
      <c r="P29" s="32"/>
      <c r="Q29" s="32"/>
    </row>
    <row r="30" ht="13.5" customHeight="1">
      <c r="A30" s="1"/>
      <c r="B30" s="32"/>
      <c r="C30" s="32"/>
      <c r="D30" s="32"/>
      <c r="E30" s="32"/>
      <c r="F30" s="25">
        <v>9.0</v>
      </c>
      <c r="G30" s="26"/>
      <c r="H30" s="27">
        <f>IF(AND(ISNUMBER(G30),ISNUMBER(G31)),IF(G31&lt;&gt;0,G30/G31,""),"")</f>
      </c>
      <c r="I30" s="32"/>
      <c r="J30" s="26"/>
      <c r="K30" s="27">
        <f>IF(AND(ISNUMBER(J30),ISNUMBER(J31)),IF(J31&lt;&gt;0,J30/J31,""),"")</f>
      </c>
      <c r="L30" s="32"/>
      <c r="M30" s="26"/>
      <c r="N30" s="27">
        <f>IF(AND(ISNUMBER(M30),ISNUMBER(M31)),IF(M31&lt;&gt;0,M30/M31,""),"")</f>
      </c>
      <c r="O30" s="32"/>
      <c r="P30" s="32"/>
      <c r="Q30" s="32"/>
    </row>
    <row r="31" ht="13.5" customHeight="1">
      <c r="A31" s="1"/>
      <c r="B31" s="32"/>
      <c r="C31" s="32"/>
      <c r="D31" s="32"/>
      <c r="E31" s="32"/>
      <c r="F31" s="25">
        <v>10.0</v>
      </c>
      <c r="G31" s="26"/>
      <c r="H31" s="20"/>
      <c r="I31" s="32"/>
      <c r="J31" s="26"/>
      <c r="K31" s="20"/>
      <c r="L31" s="32"/>
      <c r="M31" s="26"/>
      <c r="N31" s="20"/>
      <c r="O31" s="32"/>
      <c r="P31" s="32"/>
      <c r="Q31" s="32"/>
    </row>
    <row r="32" ht="13.5" customHeight="1">
      <c r="A32" s="1"/>
      <c r="B32" s="32"/>
      <c r="C32" s="32"/>
      <c r="D32" s="32"/>
      <c r="E32" s="32"/>
      <c r="F32" s="25">
        <v>11.0</v>
      </c>
      <c r="G32" s="26"/>
      <c r="H32" s="27">
        <f>IF(AND(ISNUMBER(G32),ISNUMBER(G33)),IF(G33&lt;&gt;0,G32/G33,""),"")</f>
      </c>
      <c r="I32" s="32"/>
      <c r="J32" s="26"/>
      <c r="K32" s="27">
        <f>IF(AND(ISNUMBER(J32),ISNUMBER(J33)),IF(J33&lt;&gt;0,J32/J33,""),"")</f>
      </c>
      <c r="L32" s="32"/>
      <c r="M32" s="26"/>
      <c r="N32" s="27">
        <f>IF(AND(ISNUMBER(M32),ISNUMBER(M33)),IF(M33&lt;&gt;0,M32/M33,""),"")</f>
      </c>
      <c r="O32" s="32"/>
      <c r="P32" s="32"/>
      <c r="Q32" s="32"/>
    </row>
    <row r="33" ht="13.5" customHeight="1">
      <c r="A33" s="1"/>
      <c r="B33" s="32"/>
      <c r="C33" s="32"/>
      <c r="D33" s="32"/>
      <c r="E33" s="32"/>
      <c r="F33" s="25">
        <v>12.0</v>
      </c>
      <c r="G33" s="26"/>
      <c r="H33" s="20"/>
      <c r="I33" s="32"/>
      <c r="J33" s="26"/>
      <c r="K33" s="20"/>
      <c r="L33" s="32"/>
      <c r="M33" s="26"/>
      <c r="N33" s="20"/>
      <c r="O33" s="32"/>
      <c r="P33" s="32"/>
      <c r="Q33" s="32"/>
    </row>
    <row r="34" ht="13.5" customHeight="1">
      <c r="A34" s="1"/>
      <c r="B34" s="32"/>
      <c r="C34" s="32"/>
      <c r="D34" s="32"/>
      <c r="E34" s="32"/>
      <c r="F34" s="25">
        <v>13.0</v>
      </c>
      <c r="G34" s="26"/>
      <c r="H34" s="27">
        <f>IF(AND(ISNUMBER(G34),ISNUMBER(G35)),IF(G35&lt;&gt;0,G34/G35,""),"")</f>
      </c>
      <c r="I34" s="32"/>
      <c r="J34" s="26"/>
      <c r="K34" s="27">
        <f>IF(AND(ISNUMBER(J34),ISNUMBER(J35)),IF(J35&lt;&gt;0,J34/J35,""),"")</f>
      </c>
      <c r="L34" s="32"/>
      <c r="M34" s="26"/>
      <c r="N34" s="27">
        <f>IF(AND(ISNUMBER(M34),ISNUMBER(M35)),IF(M35&lt;&gt;0,M34/M35,""),"")</f>
      </c>
      <c r="O34" s="32"/>
      <c r="P34" s="32"/>
      <c r="Q34" s="32"/>
    </row>
    <row r="35" ht="13.5" customHeight="1">
      <c r="A35" s="1"/>
      <c r="B35" s="32"/>
      <c r="C35" s="32"/>
      <c r="D35" s="32"/>
      <c r="E35" s="32"/>
      <c r="F35" s="25">
        <v>14.0</v>
      </c>
      <c r="G35" s="26"/>
      <c r="H35" s="20"/>
      <c r="I35" s="32"/>
      <c r="J35" s="26"/>
      <c r="K35" s="20"/>
      <c r="L35" s="32"/>
      <c r="M35" s="26"/>
      <c r="N35" s="20"/>
      <c r="O35" s="32"/>
      <c r="P35" s="32"/>
      <c r="Q35" s="32"/>
    </row>
    <row r="36" ht="13.5" customHeight="1">
      <c r="A36" s="1"/>
      <c r="B36" s="32"/>
      <c r="C36" s="32"/>
      <c r="D36" s="32"/>
      <c r="E36" s="32"/>
      <c r="F36" s="25">
        <v>15.0</v>
      </c>
      <c r="G36" s="26"/>
      <c r="H36" s="27">
        <f>IF(AND(ISNUMBER(G36),ISNUMBER(G37)),IF(G37&lt;&gt;0,G36/G37,""),"")</f>
      </c>
      <c r="I36" s="32"/>
      <c r="J36" s="26"/>
      <c r="K36" s="27">
        <f>IF(AND(ISNUMBER(J36),ISNUMBER(J37)),IF(J37&lt;&gt;0,J36/J37,""),"")</f>
      </c>
      <c r="L36" s="32"/>
      <c r="M36" s="26"/>
      <c r="N36" s="27">
        <f>IF(AND(ISNUMBER(M36),ISNUMBER(M37)),IF(M37&lt;&gt;0,M36/M37,""),"")</f>
      </c>
      <c r="O36" s="32"/>
      <c r="P36" s="32"/>
      <c r="Q36" s="32"/>
    </row>
    <row r="37" ht="13.5" customHeight="1">
      <c r="A37" s="1"/>
      <c r="B37" s="20"/>
      <c r="C37" s="20"/>
      <c r="D37" s="20"/>
      <c r="E37" s="20"/>
      <c r="F37" s="25">
        <v>16.0</v>
      </c>
      <c r="G37" s="26"/>
      <c r="H37" s="20"/>
      <c r="I37" s="20"/>
      <c r="J37" s="26"/>
      <c r="K37" s="20"/>
      <c r="L37" s="20"/>
      <c r="M37" s="26"/>
      <c r="N37" s="20"/>
      <c r="O37" s="20"/>
      <c r="P37" s="20"/>
      <c r="Q37" s="20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45">
    <mergeCell ref="I22:I37"/>
    <mergeCell ref="H36:H37"/>
    <mergeCell ref="H34:H35"/>
    <mergeCell ref="H22:H23"/>
    <mergeCell ref="H24:H25"/>
    <mergeCell ref="H26:H27"/>
    <mergeCell ref="H28:H29"/>
    <mergeCell ref="D22:D37"/>
    <mergeCell ref="C22:C37"/>
    <mergeCell ref="F20:F21"/>
    <mergeCell ref="C20:C21"/>
    <mergeCell ref="N32:N33"/>
    <mergeCell ref="N34:N35"/>
    <mergeCell ref="K36:K37"/>
    <mergeCell ref="K22:K23"/>
    <mergeCell ref="K24:K25"/>
    <mergeCell ref="K26:K27"/>
    <mergeCell ref="K28:K29"/>
    <mergeCell ref="K30:K31"/>
    <mergeCell ref="E22:E37"/>
    <mergeCell ref="B4:O17"/>
    <mergeCell ref="L22:L37"/>
    <mergeCell ref="O22:O37"/>
    <mergeCell ref="N30:N31"/>
    <mergeCell ref="B2:H2"/>
    <mergeCell ref="N36:N37"/>
    <mergeCell ref="N22:N23"/>
    <mergeCell ref="G20:I20"/>
    <mergeCell ref="J20:L20"/>
    <mergeCell ref="B22:B37"/>
    <mergeCell ref="B20:B21"/>
    <mergeCell ref="D20:D21"/>
    <mergeCell ref="E20:E21"/>
    <mergeCell ref="K32:K33"/>
    <mergeCell ref="K34:K35"/>
    <mergeCell ref="M20:O20"/>
    <mergeCell ref="N24:N25"/>
    <mergeCell ref="Q20:Q21"/>
    <mergeCell ref="P20:P21"/>
    <mergeCell ref="N26:N27"/>
    <mergeCell ref="N28:N29"/>
    <mergeCell ref="Q22:Q37"/>
    <mergeCell ref="P22:P37"/>
    <mergeCell ref="H30:H31"/>
    <mergeCell ref="H32:H33"/>
  </mergeCells>
  <printOptions/>
  <pageMargins bottom="0.75" footer="0.0" header="0.0" left="0.25" right="0.25" top="0.75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Corner </vt:lpstr>
      <vt:lpstr>'Corner '!Print_Area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2026-01-28T02:58:22Z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